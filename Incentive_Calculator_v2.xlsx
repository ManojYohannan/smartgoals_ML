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" documentId="11_B09126532BF62A756359FC3BAAE27033E6F08E8E" xr6:coauthVersionLast="47" xr6:coauthVersionMax="47" xr10:uidLastSave="{5CCD84D1-8A38-4450-B46F-4F0EF237B7A2}"/>
  <bookViews>
    <workbookView xWindow="-110" yWindow="-110" windowWidth="19420" windowHeight="10300" activeTab="1" xr2:uid="{00000000-000D-0000-FFFF-FFFF00000000}"/>
  </bookViews>
  <sheets>
    <sheet name="Incentive Slabs" sheetId="1" r:id="rId1"/>
    <sheet name="Agent Performance" sheetId="2" r:id="rId2"/>
    <sheet name="Summary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C4" i="3"/>
  <c r="C3" i="3"/>
  <c r="C2" i="3"/>
  <c r="F7" i="2"/>
  <c r="G7" i="2" s="1"/>
  <c r="H7" i="2" s="1"/>
  <c r="F6" i="2"/>
  <c r="G6" i="2" s="1"/>
  <c r="H6" i="2" s="1"/>
  <c r="D4" i="3" s="1"/>
  <c r="G5" i="2"/>
  <c r="H5" i="2" s="1"/>
  <c r="F5" i="2"/>
  <c r="F4" i="2"/>
  <c r="G4" i="2" s="1"/>
  <c r="H4" i="2" s="1"/>
  <c r="G3" i="2"/>
  <c r="H3" i="2" s="1"/>
  <c r="F3" i="2"/>
  <c r="G2" i="2"/>
  <c r="H2" i="2" s="1"/>
  <c r="D2" i="3" s="1"/>
  <c r="F2" i="2"/>
  <c r="D3" i="3" l="1"/>
</calcChain>
</file>

<file path=xl/sharedStrings.xml><?xml version="1.0" encoding="utf-8"?>
<sst xmlns="http://schemas.openxmlformats.org/spreadsheetml/2006/main" count="103" uniqueCount="41">
  <si>
    <t>Task Category</t>
  </si>
  <si>
    <t>Employee Grade</t>
  </si>
  <si>
    <t>Min Completion %</t>
  </si>
  <si>
    <t>Max Completion %</t>
  </si>
  <si>
    <t>Payout Per Task</t>
  </si>
  <si>
    <t>C1</t>
  </si>
  <si>
    <t>L1</t>
  </si>
  <si>
    <t>L2</t>
  </si>
  <si>
    <t>C2</t>
  </si>
  <si>
    <t>C3</t>
  </si>
  <si>
    <t>Agent Name</t>
  </si>
  <si>
    <t>Target Tasks</t>
  </si>
  <si>
    <t>Tasks Completed</t>
  </si>
  <si>
    <t>Completion %</t>
  </si>
  <si>
    <t>Total Incentive</t>
  </si>
  <si>
    <t>Agent A</t>
  </si>
  <si>
    <t>Agent B</t>
  </si>
  <si>
    <t>Agent C</t>
  </si>
  <si>
    <t>Total Tasks Completed</t>
  </si>
  <si>
    <t>INCENTIVE CALCULATOR - INSTRUCTIONS</t>
  </si>
  <si>
    <t/>
  </si>
  <si>
    <t>1. INCENTIVE SLABS sheet: Define your payout slabs here.</t>
  </si>
  <si>
    <t xml:space="preserve">   - Add rows for each Task Category x Grade x Completion % range.</t>
  </si>
  <si>
    <t xml:space="preserve">   - Min Completion % is inclusive, Max is exclusive.</t>
  </si>
  <si>
    <t xml:space="preserve">   - Use 999 for "no upper limit" on the highest slab.</t>
  </si>
  <si>
    <t>2. AGENT PERFORMANCE sheet: Enter agent task data.</t>
  </si>
  <si>
    <t xml:space="preserve">   - Fill in: Agent Name, Grade, Task Category, Target Tasks, Tasks Completed.</t>
  </si>
  <si>
    <t xml:space="preserve">   - Columns F, G, H are auto-calculated (do not edit manually).</t>
  </si>
  <si>
    <t xml:space="preserve">   - To add more rows: copy row 2 formulas down.</t>
  </si>
  <si>
    <t>3. SUMMARY sheet: Auto-sums total incentive per agent.</t>
  </si>
  <si>
    <t>HOW THE PAYOUT LOOKUP WORKS:</t>
  </si>
  <si>
    <t xml:space="preserve">   Uses SUMPRODUCT to find the matching slab row where:</t>
  </si>
  <si>
    <t xml:space="preserve">   - Task Category matches</t>
  </si>
  <si>
    <t xml:space="preserve">   - Employee Grade matches</t>
  </si>
  <si>
    <t xml:space="preserve">   - Completion % falls between Min and Max</t>
  </si>
  <si>
    <t xml:space="preserve">   Then returns the Payout value from that row.</t>
  </si>
  <si>
    <t>CUSTOMIZATION:</t>
  </si>
  <si>
    <t>- Add more task categories (C4, C5...) in the Slabs sheet.</t>
  </si>
  <si>
    <t>- Add more grades (L3, L4...) as needed.</t>
  </si>
  <si>
    <t>- Adjust payout amounts per your policy.</t>
  </si>
  <si>
    <t>- Below 100% = no incentive (no matching slab, returns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</si>
</sst>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G4" sqref="G4"/>
    </sheetView>
  </sheetViews>
  <sheetFormatPr defaultRowHeight="14.5" x14ac:dyDescent="0.35"/>
  <cols>
    <col min="1" max="2" width="16" customWidth="1"/>
    <col min="3" max="4" width="18" customWidth="1"/>
    <col min="5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100</v>
      </c>
      <c r="D2">
        <v>110</v>
      </c>
      <c r="E2">
        <v>45</v>
      </c>
    </row>
    <row r="3" spans="1:5" x14ac:dyDescent="0.35">
      <c r="A3" t="s">
        <v>5</v>
      </c>
      <c r="B3" t="s">
        <v>6</v>
      </c>
      <c r="C3">
        <v>110</v>
      </c>
      <c r="D3">
        <v>120</v>
      </c>
      <c r="E3">
        <v>200</v>
      </c>
    </row>
    <row r="4" spans="1:5" x14ac:dyDescent="0.35">
      <c r="A4" t="s">
        <v>5</v>
      </c>
      <c r="B4" t="s">
        <v>6</v>
      </c>
      <c r="C4">
        <v>120</v>
      </c>
      <c r="D4">
        <v>999</v>
      </c>
      <c r="E4">
        <v>55</v>
      </c>
    </row>
    <row r="5" spans="1:5" x14ac:dyDescent="0.35">
      <c r="A5" t="s">
        <v>5</v>
      </c>
      <c r="B5" t="s">
        <v>7</v>
      </c>
      <c r="C5">
        <v>100</v>
      </c>
      <c r="D5">
        <v>110</v>
      </c>
      <c r="E5">
        <v>50</v>
      </c>
    </row>
    <row r="6" spans="1:5" x14ac:dyDescent="0.35">
      <c r="A6" t="s">
        <v>5</v>
      </c>
      <c r="B6" t="s">
        <v>7</v>
      </c>
      <c r="C6">
        <v>110</v>
      </c>
      <c r="D6">
        <v>120</v>
      </c>
      <c r="E6">
        <v>55</v>
      </c>
    </row>
    <row r="7" spans="1:5" x14ac:dyDescent="0.35">
      <c r="A7" t="s">
        <v>5</v>
      </c>
      <c r="B7" t="s">
        <v>7</v>
      </c>
      <c r="C7">
        <v>120</v>
      </c>
      <c r="D7">
        <v>999</v>
      </c>
      <c r="E7">
        <v>60</v>
      </c>
    </row>
    <row r="8" spans="1:5" x14ac:dyDescent="0.35">
      <c r="A8" t="s">
        <v>8</v>
      </c>
      <c r="B8" t="s">
        <v>6</v>
      </c>
      <c r="C8">
        <v>100</v>
      </c>
      <c r="D8">
        <v>110</v>
      </c>
      <c r="E8">
        <v>30</v>
      </c>
    </row>
    <row r="9" spans="1:5" x14ac:dyDescent="0.35">
      <c r="A9" t="s">
        <v>8</v>
      </c>
      <c r="B9" t="s">
        <v>6</v>
      </c>
      <c r="C9">
        <v>110</v>
      </c>
      <c r="D9">
        <v>120</v>
      </c>
      <c r="E9">
        <v>35</v>
      </c>
    </row>
    <row r="10" spans="1:5" x14ac:dyDescent="0.35">
      <c r="A10" t="s">
        <v>8</v>
      </c>
      <c r="B10" t="s">
        <v>6</v>
      </c>
      <c r="C10">
        <v>120</v>
      </c>
      <c r="D10">
        <v>999</v>
      </c>
      <c r="E10">
        <v>40</v>
      </c>
    </row>
    <row r="11" spans="1:5" x14ac:dyDescent="0.35">
      <c r="A11" t="s">
        <v>8</v>
      </c>
      <c r="B11" t="s">
        <v>7</v>
      </c>
      <c r="C11">
        <v>100</v>
      </c>
      <c r="D11">
        <v>110</v>
      </c>
      <c r="E11">
        <v>35</v>
      </c>
    </row>
    <row r="12" spans="1:5" x14ac:dyDescent="0.35">
      <c r="A12" t="s">
        <v>8</v>
      </c>
      <c r="B12" t="s">
        <v>7</v>
      </c>
      <c r="C12">
        <v>110</v>
      </c>
      <c r="D12">
        <v>120</v>
      </c>
      <c r="E12">
        <v>40</v>
      </c>
    </row>
    <row r="13" spans="1:5" x14ac:dyDescent="0.35">
      <c r="A13" t="s">
        <v>8</v>
      </c>
      <c r="B13" t="s">
        <v>7</v>
      </c>
      <c r="C13">
        <v>120</v>
      </c>
      <c r="D13">
        <v>999</v>
      </c>
      <c r="E13">
        <v>45</v>
      </c>
    </row>
    <row r="14" spans="1:5" x14ac:dyDescent="0.35">
      <c r="A14" t="s">
        <v>9</v>
      </c>
      <c r="B14" t="s">
        <v>6</v>
      </c>
      <c r="C14">
        <v>100</v>
      </c>
      <c r="D14">
        <v>110</v>
      </c>
      <c r="E14">
        <v>20</v>
      </c>
    </row>
    <row r="15" spans="1:5" x14ac:dyDescent="0.35">
      <c r="A15" t="s">
        <v>9</v>
      </c>
      <c r="B15" t="s">
        <v>6</v>
      </c>
      <c r="C15">
        <v>110</v>
      </c>
      <c r="D15">
        <v>120</v>
      </c>
      <c r="E15">
        <v>25</v>
      </c>
    </row>
    <row r="16" spans="1:5" x14ac:dyDescent="0.35">
      <c r="A16" t="s">
        <v>9</v>
      </c>
      <c r="B16" t="s">
        <v>6</v>
      </c>
      <c r="C16">
        <v>120</v>
      </c>
      <c r="D16">
        <v>999</v>
      </c>
      <c r="E16">
        <v>30</v>
      </c>
    </row>
    <row r="17" spans="1:5" x14ac:dyDescent="0.35">
      <c r="A17" t="s">
        <v>9</v>
      </c>
      <c r="B17" t="s">
        <v>7</v>
      </c>
      <c r="C17">
        <v>100</v>
      </c>
      <c r="D17">
        <v>110</v>
      </c>
      <c r="E17">
        <v>25</v>
      </c>
    </row>
    <row r="18" spans="1:5" x14ac:dyDescent="0.35">
      <c r="A18" t="s">
        <v>9</v>
      </c>
      <c r="B18" t="s">
        <v>7</v>
      </c>
      <c r="C18">
        <v>110</v>
      </c>
      <c r="D18">
        <v>120</v>
      </c>
      <c r="E18">
        <v>30</v>
      </c>
    </row>
    <row r="19" spans="1:5" x14ac:dyDescent="0.35">
      <c r="A19" t="s">
        <v>9</v>
      </c>
      <c r="B19" t="s">
        <v>7</v>
      </c>
      <c r="C19">
        <v>120</v>
      </c>
      <c r="D19">
        <v>999</v>
      </c>
      <c r="E19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H8" sqref="H8"/>
    </sheetView>
  </sheetViews>
  <sheetFormatPr defaultRowHeight="14.5" x14ac:dyDescent="0.35"/>
  <cols>
    <col min="1" max="1" width="18" customWidth="1"/>
    <col min="2" max="3" width="16" customWidth="1"/>
    <col min="4" max="4" width="14" customWidth="1"/>
    <col min="5" max="5" width="16" customWidth="1"/>
    <col min="6" max="6" width="14" customWidth="1"/>
    <col min="7" max="8" width="16" customWidth="1"/>
  </cols>
  <sheetData>
    <row r="1" spans="1:8" x14ac:dyDescent="0.35">
      <c r="A1" s="2" t="s">
        <v>10</v>
      </c>
      <c r="B1" s="2" t="s">
        <v>1</v>
      </c>
      <c r="C1" s="2" t="s">
        <v>0</v>
      </c>
      <c r="D1" s="2" t="s">
        <v>11</v>
      </c>
      <c r="E1" s="2" t="s">
        <v>12</v>
      </c>
      <c r="F1" s="2" t="s">
        <v>13</v>
      </c>
      <c r="G1" s="2" t="s">
        <v>4</v>
      </c>
      <c r="H1" s="2" t="s">
        <v>14</v>
      </c>
    </row>
    <row r="2" spans="1:8" x14ac:dyDescent="0.35">
      <c r="A2" t="s">
        <v>15</v>
      </c>
      <c r="B2" t="s">
        <v>6</v>
      </c>
      <c r="C2" t="s">
        <v>5</v>
      </c>
      <c r="D2">
        <v>100</v>
      </c>
      <c r="E2">
        <v>115</v>
      </c>
      <c r="F2">
        <f t="shared" ref="F2:F7" si="0">ROUND(E2/D2*100,1)</f>
        <v>115</v>
      </c>
      <c r="G2">
        <f>SUMPRODUCT(('Incentive Slabs'!A$2:A$19=C2)*('Incentive Slabs'!B$2:B$19=B2)*('Incentive Slabs'!C$2:C$19&lt;=F2)*('Incentive Slabs'!D$2:D$19&gt;F2)*'Incentive Slabs'!E$2:E$19)</f>
        <v>200</v>
      </c>
      <c r="H2">
        <f t="shared" ref="H2:H7" si="1">E2*G2</f>
        <v>23000</v>
      </c>
    </row>
    <row r="3" spans="1:8" x14ac:dyDescent="0.35">
      <c r="A3" t="s">
        <v>15</v>
      </c>
      <c r="B3" t="s">
        <v>6</v>
      </c>
      <c r="C3" t="s">
        <v>8</v>
      </c>
      <c r="D3">
        <v>80</v>
      </c>
      <c r="E3">
        <v>100</v>
      </c>
      <c r="F3">
        <f t="shared" si="0"/>
        <v>125</v>
      </c>
      <c r="G3">
        <f>SUMPRODUCT(('Incentive Slabs'!A$2:A$19=C3)*('Incentive Slabs'!B$2:B$19=B3)*('Incentive Slabs'!C$2:C$19&lt;=F3)*('Incentive Slabs'!D$2:D$19&gt;F3)*'Incentive Slabs'!E$2:E$19)</f>
        <v>40</v>
      </c>
      <c r="H3">
        <f t="shared" si="1"/>
        <v>4000</v>
      </c>
    </row>
    <row r="4" spans="1:8" x14ac:dyDescent="0.35">
      <c r="A4" t="s">
        <v>16</v>
      </c>
      <c r="B4" t="s">
        <v>7</v>
      </c>
      <c r="C4" t="s">
        <v>5</v>
      </c>
      <c r="D4">
        <v>90</v>
      </c>
      <c r="E4">
        <v>110</v>
      </c>
      <c r="F4">
        <f t="shared" si="0"/>
        <v>122.2</v>
      </c>
      <c r="G4">
        <f>SUMPRODUCT(('Incentive Slabs'!A$2:A$19=C4)*('Incentive Slabs'!B$2:B$19=B4)*('Incentive Slabs'!C$2:C$19&lt;=F4)*('Incentive Slabs'!D$2:D$19&gt;F4)*'Incentive Slabs'!E$2:E$19)</f>
        <v>60</v>
      </c>
      <c r="H4">
        <f t="shared" si="1"/>
        <v>6600</v>
      </c>
    </row>
    <row r="5" spans="1:8" x14ac:dyDescent="0.35">
      <c r="A5" t="s">
        <v>16</v>
      </c>
      <c r="B5" t="s">
        <v>7</v>
      </c>
      <c r="C5" t="s">
        <v>9</v>
      </c>
      <c r="D5">
        <v>50</v>
      </c>
      <c r="E5">
        <v>45</v>
      </c>
      <c r="F5">
        <f t="shared" si="0"/>
        <v>90</v>
      </c>
      <c r="G5">
        <f>SUMPRODUCT(('Incentive Slabs'!A$2:A$19=C5)*('Incentive Slabs'!B$2:B$19=B5)*('Incentive Slabs'!C$2:C$19&lt;=F5)*('Incentive Slabs'!D$2:D$19&gt;F5)*'Incentive Slabs'!E$2:E$19)</f>
        <v>0</v>
      </c>
      <c r="H5">
        <f t="shared" si="1"/>
        <v>0</v>
      </c>
    </row>
    <row r="6" spans="1:8" x14ac:dyDescent="0.35">
      <c r="A6" t="s">
        <v>17</v>
      </c>
      <c r="B6" t="s">
        <v>6</v>
      </c>
      <c r="C6" t="s">
        <v>5</v>
      </c>
      <c r="D6">
        <v>100</v>
      </c>
      <c r="E6">
        <v>125</v>
      </c>
      <c r="F6">
        <f t="shared" si="0"/>
        <v>125</v>
      </c>
      <c r="G6">
        <f>SUMPRODUCT(('Incentive Slabs'!A$2:A$19=C6)*('Incentive Slabs'!B$2:B$19=B6)*('Incentive Slabs'!C$2:C$19&lt;=F6)*('Incentive Slabs'!D$2:D$19&gt;F6)*'Incentive Slabs'!E$2:E$19)</f>
        <v>55</v>
      </c>
      <c r="H6">
        <f t="shared" si="1"/>
        <v>6875</v>
      </c>
    </row>
    <row r="7" spans="1:8" x14ac:dyDescent="0.35">
      <c r="A7" t="s">
        <v>17</v>
      </c>
      <c r="B7" t="s">
        <v>6</v>
      </c>
      <c r="C7" t="s">
        <v>9</v>
      </c>
      <c r="D7">
        <v>60</v>
      </c>
      <c r="E7">
        <v>75</v>
      </c>
      <c r="F7">
        <f t="shared" si="0"/>
        <v>125</v>
      </c>
      <c r="G7">
        <f>SUMPRODUCT(('Incentive Slabs'!A$2:A$19=C7)*('Incentive Slabs'!B$2:B$19=B7)*('Incentive Slabs'!C$2:C$19&lt;=F7)*('Incentive Slabs'!D$2:D$19&gt;F7)*'Incentive Slabs'!E$2:E$19)</f>
        <v>30</v>
      </c>
      <c r="H7">
        <f t="shared" si="1"/>
        <v>2250</v>
      </c>
    </row>
    <row r="8" spans="1:8" x14ac:dyDescent="0.35">
      <c r="H8">
        <f>SUM(H2:H7)</f>
        <v>42725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5" x14ac:dyDescent="0.35"/>
  <cols>
    <col min="1" max="1" width="18" customWidth="1"/>
    <col min="2" max="2" width="16" customWidth="1"/>
    <col min="3" max="3" width="22" customWidth="1"/>
    <col min="4" max="4" width="18" customWidth="1"/>
  </cols>
  <sheetData>
    <row r="1" spans="1:4" x14ac:dyDescent="0.35">
      <c r="A1" s="3" t="s">
        <v>10</v>
      </c>
      <c r="B1" s="3" t="s">
        <v>1</v>
      </c>
      <c r="C1" s="3" t="s">
        <v>18</v>
      </c>
      <c r="D1" s="3" t="s">
        <v>14</v>
      </c>
    </row>
    <row r="2" spans="1:4" x14ac:dyDescent="0.35">
      <c r="A2" t="s">
        <v>15</v>
      </c>
      <c r="B2" t="s">
        <v>6</v>
      </c>
      <c r="C2">
        <f>SUMIF('Agent Performance'!A:A,"Agent A",'Agent Performance'!E:E)</f>
        <v>215</v>
      </c>
      <c r="D2">
        <f>SUMIF('Agent Performance'!A:A,"Agent A",'Agent Performance'!H:H)</f>
        <v>27000</v>
      </c>
    </row>
    <row r="3" spans="1:4" x14ac:dyDescent="0.35">
      <c r="A3" t="s">
        <v>16</v>
      </c>
      <c r="B3" t="s">
        <v>7</v>
      </c>
      <c r="C3">
        <f>SUMIF('Agent Performance'!A:A,"Agent B",'Agent Performance'!E:E)</f>
        <v>155</v>
      </c>
      <c r="D3">
        <f>SUMIF('Agent Performance'!A:A,"Agent B",'Agent Performance'!H:H)</f>
        <v>6600</v>
      </c>
    </row>
    <row r="4" spans="1:4" x14ac:dyDescent="0.35">
      <c r="A4" t="s">
        <v>17</v>
      </c>
      <c r="B4" t="s">
        <v>6</v>
      </c>
      <c r="C4">
        <f>SUMIF('Agent Performance'!A:A,"Agent C",'Agent Performance'!E:E)</f>
        <v>200</v>
      </c>
      <c r="D4">
        <f>SUMIF('Agent Performance'!A:A,"Agent C",'Agent Performance'!H:H)</f>
        <v>9125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defaultRowHeight="14.5" x14ac:dyDescent="0.35"/>
  <cols>
    <col min="1" max="1" width="80" customWidth="1"/>
  </cols>
  <sheetData>
    <row r="1" spans="1:1" ht="18.5" x14ac:dyDescent="0.45">
      <c r="A1" s="4" t="s">
        <v>19</v>
      </c>
    </row>
    <row r="2" spans="1:1" x14ac:dyDescent="0.35">
      <c r="A2" t="s">
        <v>20</v>
      </c>
    </row>
    <row r="3" spans="1:1" x14ac:dyDescent="0.35">
      <c r="A3" t="s">
        <v>21</v>
      </c>
    </row>
    <row r="4" spans="1:1" x14ac:dyDescent="0.35">
      <c r="A4" t="s">
        <v>22</v>
      </c>
    </row>
    <row r="5" spans="1:1" x14ac:dyDescent="0.35">
      <c r="A5" t="s">
        <v>23</v>
      </c>
    </row>
    <row r="6" spans="1:1" x14ac:dyDescent="0.35">
      <c r="A6" t="s">
        <v>24</v>
      </c>
    </row>
    <row r="7" spans="1:1" x14ac:dyDescent="0.35">
      <c r="A7" t="s">
        <v>20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1" spans="1:1" x14ac:dyDescent="0.35">
      <c r="A11" t="s">
        <v>28</v>
      </c>
    </row>
    <row r="12" spans="1:1" x14ac:dyDescent="0.35">
      <c r="A12" t="s">
        <v>20</v>
      </c>
    </row>
    <row r="13" spans="1:1" x14ac:dyDescent="0.35">
      <c r="A13" t="s">
        <v>29</v>
      </c>
    </row>
    <row r="14" spans="1:1" x14ac:dyDescent="0.35">
      <c r="A14" t="s">
        <v>20</v>
      </c>
    </row>
    <row r="15" spans="1:1" x14ac:dyDescent="0.35">
      <c r="A15" t="s">
        <v>30</v>
      </c>
    </row>
    <row r="16" spans="1:1" x14ac:dyDescent="0.35">
      <c r="A16" t="s">
        <v>31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20</v>
      </c>
    </row>
    <row r="22" spans="1:1" x14ac:dyDescent="0.35">
      <c r="A22" t="s">
        <v>36</v>
      </c>
    </row>
    <row r="23" spans="1:1" x14ac:dyDescent="0.35">
      <c r="A23" t="s">
        <v>37</v>
      </c>
    </row>
    <row r="24" spans="1:1" x14ac:dyDescent="0.35">
      <c r="A24" t="s">
        <v>38</v>
      </c>
    </row>
    <row r="25" spans="1:1" x14ac:dyDescent="0.35">
      <c r="A25" t="s">
        <v>39</v>
      </c>
    </row>
    <row r="26" spans="1:1" x14ac:dyDescent="0.35">
      <c r="A26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Incentive Slabs</vt:lpstr>
      <vt:lpstr>Agent Performance</vt:lpstr>
      <vt:lpstr>Summary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2026-07-10T18:28:15Z</dcterms:created>
  <dcterms:modified xsi:type="dcterms:W3CDTF">2026-07-10T18:34:56Z</dcterms:modified>
  <cp:category/>
</cp:coreProperties>
</file>